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79132AAA-8161-4040-9AF1-A0D492248E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tions" sheetId="1" r:id="rId1"/>
    <sheet name="Product_Master" sheetId="2" r:id="rId2"/>
    <sheet name="Notes" sheetId="4" r:id="rId3"/>
    <sheet name="Edge_Cases" sheetId="3" r:id="rId4"/>
    <sheet name="Formula_Practice" sheetId="5" r:id="rId5"/>
  </sheets>
  <definedNames>
    <definedName name="_xlnm._FilterDatabase" localSheetId="3" hidden="1">Edge_Cases!$A$1:$H$4</definedName>
    <definedName name="_xlnm._FilterDatabase" localSheetId="2" hidden="1">Notes!$A$1:$C$11</definedName>
    <definedName name="_xlnm._FilterDatabase" localSheetId="1" hidden="1">Product_Master!$A$1:$D$11</definedName>
    <definedName name="_xlnm._FilterDatabase" localSheetId="0" hidden="1">Transactions!$A$1:$G$31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5" l="1"/>
  <c r="C9" i="5"/>
  <c r="C8" i="5"/>
  <c r="C7" i="5"/>
  <c r="C6" i="5"/>
  <c r="C5" i="5"/>
  <c r="C4" i="5"/>
  <c r="C3" i="5"/>
  <c r="C2" i="5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<sst xmlns="http://schemas.openxmlformats.org/spreadsheetml/2006/main" count="270" uniqueCount="185">
  <si>
    <t>Order_ID</t>
  </si>
  <si>
    <t>Date</t>
  </si>
  <si>
    <t>Product_ID</t>
  </si>
  <si>
    <t>Customer</t>
  </si>
  <si>
    <t>Region</t>
  </si>
  <si>
    <t>Quantity</t>
  </si>
  <si>
    <t>Sales</t>
  </si>
  <si>
    <t>ORD001</t>
  </si>
  <si>
    <t>2026-09-01</t>
  </si>
  <si>
    <t>P101</t>
  </si>
  <si>
    <t>Ravi</t>
  </si>
  <si>
    <t>South</t>
  </si>
  <si>
    <t>ORD002</t>
  </si>
  <si>
    <t>2026-09-02</t>
  </si>
  <si>
    <t>P104</t>
  </si>
  <si>
    <t>Priya</t>
  </si>
  <si>
    <t>ORD003</t>
  </si>
  <si>
    <t>2026-09-03</t>
  </si>
  <si>
    <t>P106</t>
  </si>
  <si>
    <t>Arjun</t>
  </si>
  <si>
    <t>North</t>
  </si>
  <si>
    <t>ORD004</t>
  </si>
  <si>
    <t>2026-09-04</t>
  </si>
  <si>
    <t>P102</t>
  </si>
  <si>
    <t>Sneha</t>
  </si>
  <si>
    <t>East</t>
  </si>
  <si>
    <t>ORD005</t>
  </si>
  <si>
    <t>2026-09-05</t>
  </si>
  <si>
    <t>P109</t>
  </si>
  <si>
    <t>Kiran</t>
  </si>
  <si>
    <t>West</t>
  </si>
  <si>
    <t>ORD006</t>
  </si>
  <si>
    <t>2026-09-06</t>
  </si>
  <si>
    <t>P103</t>
  </si>
  <si>
    <t>Anu</t>
  </si>
  <si>
    <t>ORD007</t>
  </si>
  <si>
    <t>2026-09-07</t>
  </si>
  <si>
    <t>P105</t>
  </si>
  <si>
    <t>Rahul</t>
  </si>
  <si>
    <t>ORD008</t>
  </si>
  <si>
    <t>2026-09-08</t>
  </si>
  <si>
    <t>P107</t>
  </si>
  <si>
    <t>Divya</t>
  </si>
  <si>
    <t>ORD009</t>
  </si>
  <si>
    <t>2026-09-09</t>
  </si>
  <si>
    <t>P108</t>
  </si>
  <si>
    <t>Vikram</t>
  </si>
  <si>
    <t>ORD010</t>
  </si>
  <si>
    <t>2026-09-10</t>
  </si>
  <si>
    <t>P110</t>
  </si>
  <si>
    <t>Meena</t>
  </si>
  <si>
    <t>ORD011</t>
  </si>
  <si>
    <t>2026-09-11</t>
  </si>
  <si>
    <t>Suresh</t>
  </si>
  <si>
    <t>ORD012</t>
  </si>
  <si>
    <t>2026-09-12</t>
  </si>
  <si>
    <t>Lakshmi</t>
  </si>
  <si>
    <t>ORD013</t>
  </si>
  <si>
    <t>2026-09-13</t>
  </si>
  <si>
    <t>Harish</t>
  </si>
  <si>
    <t>ORD014</t>
  </si>
  <si>
    <t>2026-09-14</t>
  </si>
  <si>
    <t>Pooja</t>
  </si>
  <si>
    <t>ORD015</t>
  </si>
  <si>
    <t>2026-09-15</t>
  </si>
  <si>
    <t>Naveen</t>
  </si>
  <si>
    <t>ORD016</t>
  </si>
  <si>
    <t>2026-09-16</t>
  </si>
  <si>
    <t>Swathi</t>
  </si>
  <si>
    <t>ORD017</t>
  </si>
  <si>
    <t>2026-09-17</t>
  </si>
  <si>
    <t>Karthik</t>
  </si>
  <si>
    <t>ORD018</t>
  </si>
  <si>
    <t>2026-09-18</t>
  </si>
  <si>
    <t>Asha</t>
  </si>
  <si>
    <t>ORD019</t>
  </si>
  <si>
    <t>2026-09-19</t>
  </si>
  <si>
    <t>Manoj</t>
  </si>
  <si>
    <t>ORD020</t>
  </si>
  <si>
    <t>2026-09-20</t>
  </si>
  <si>
    <t>Geetha</t>
  </si>
  <si>
    <t>ORD021</t>
  </si>
  <si>
    <t>2026-09-21</t>
  </si>
  <si>
    <t>Ramesh</t>
  </si>
  <si>
    <t>ORD022</t>
  </si>
  <si>
    <t>2026-09-22</t>
  </si>
  <si>
    <t>Keerthi</t>
  </si>
  <si>
    <t>ORD023</t>
  </si>
  <si>
    <t>2026-09-23</t>
  </si>
  <si>
    <t>Ajay</t>
  </si>
  <si>
    <t>ORD024</t>
  </si>
  <si>
    <t>2026-09-24</t>
  </si>
  <si>
    <t>Bhavya</t>
  </si>
  <si>
    <t>ORD025</t>
  </si>
  <si>
    <t>2026-09-25</t>
  </si>
  <si>
    <t>Mohan</t>
  </si>
  <si>
    <t>ORD026</t>
  </si>
  <si>
    <t>2026-09-26</t>
  </si>
  <si>
    <t>Teja</t>
  </si>
  <si>
    <t>ORD027</t>
  </si>
  <si>
    <t>2026-09-27</t>
  </si>
  <si>
    <t>Deepak</t>
  </si>
  <si>
    <t>ORD028</t>
  </si>
  <si>
    <t>2026-09-28</t>
  </si>
  <si>
    <t>Sowmya</t>
  </si>
  <si>
    <t>ORD029</t>
  </si>
  <si>
    <t>2026-09-29</t>
  </si>
  <si>
    <t>Varun</t>
  </si>
  <si>
    <t>ORD030</t>
  </si>
  <si>
    <t>2026-09-30</t>
  </si>
  <si>
    <t>Neha</t>
  </si>
  <si>
    <t>Product_Name</t>
  </si>
  <si>
    <t>Category</t>
  </si>
  <si>
    <t>Price</t>
  </si>
  <si>
    <t>Laptop</t>
  </si>
  <si>
    <t>Electronics</t>
  </si>
  <si>
    <t>Smartphone</t>
  </si>
  <si>
    <t>Headphones</t>
  </si>
  <si>
    <t>Office Chair</t>
  </si>
  <si>
    <t>Furniture</t>
  </si>
  <si>
    <t>Desk</t>
  </si>
  <si>
    <t>T-Shirt</t>
  </si>
  <si>
    <t>Clothing</t>
  </si>
  <si>
    <t>Jeans</t>
  </si>
  <si>
    <t>Shoes</t>
  </si>
  <si>
    <t>Grocery Pack</t>
  </si>
  <si>
    <t>Grocery</t>
  </si>
  <si>
    <t>Coffee Maker</t>
  </si>
  <si>
    <t>Home Appliances</t>
  </si>
  <si>
    <t>Test_Purpose</t>
  </si>
  <si>
    <t>ORD031</t>
  </si>
  <si>
    <t>2026-10-01</t>
  </si>
  <si>
    <t>P999</t>
  </si>
  <si>
    <t>Test_Customer</t>
  </si>
  <si>
    <t>Wrong Product ID - test XLOOKUP/VLOOKUP</t>
  </si>
  <si>
    <t>ORD032</t>
  </si>
  <si>
    <t>2026-10-02</t>
  </si>
  <si>
    <t>Blank_Product_ID</t>
  </si>
  <si>
    <t>Blank Product ID - test blank handling</t>
  </si>
  <si>
    <t>ORD033</t>
  </si>
  <si>
    <t>2026-10-03</t>
  </si>
  <si>
    <t>Text_Number_Test</t>
  </si>
  <si>
    <t>2</t>
  </si>
  <si>
    <t>Quantity stored as text - test mismatch</t>
  </si>
  <si>
    <t>Function</t>
  </si>
  <si>
    <t>Practice</t>
  </si>
  <si>
    <t>When_To_Use</t>
  </si>
  <si>
    <t>VLOOKUP</t>
  </si>
  <si>
    <t>Lookup Product_Name using Product_ID</t>
  </si>
  <si>
    <t>Use when the lookup key is in the first column of the lookup table.</t>
  </si>
  <si>
    <t>XLOOKUP</t>
  </si>
  <si>
    <t>Flexible lookup; can return a custom value such as Not Found.</t>
  </si>
  <si>
    <t>IF</t>
  </si>
  <si>
    <t>Classify sales as High/Low</t>
  </si>
  <si>
    <t>Use for condition-based decisions.</t>
  </si>
  <si>
    <t>SUMIF</t>
  </si>
  <si>
    <t>Total sales for one region</t>
  </si>
  <si>
    <t>Use when there is one condition.</t>
  </si>
  <si>
    <t>SUMIFS</t>
  </si>
  <si>
    <t>Sales for a region + category</t>
  </si>
  <si>
    <t>Use when there are multiple conditions.</t>
  </si>
  <si>
    <t>COUNTIF</t>
  </si>
  <si>
    <t>Count orders in one category/region</t>
  </si>
  <si>
    <t>COUNTIFS</t>
  </si>
  <si>
    <t>Count orders matching multiple conditions</t>
  </si>
  <si>
    <t>LEFT/RIGHT/MID</t>
  </si>
  <si>
    <t>Extract parts of Order_ID or text</t>
  </si>
  <si>
    <t>Use for text manipulation.</t>
  </si>
  <si>
    <t>CONCAT/TEXTJOIN</t>
  </si>
  <si>
    <t>Combine text fields</t>
  </si>
  <si>
    <t>Use to create combined labels/keys.</t>
  </si>
  <si>
    <t>INDEX/MATCH</t>
  </si>
  <si>
    <t>Flexible lookup</t>
  </si>
  <si>
    <t>Useful when the lookup column is not on the left.</t>
  </si>
  <si>
    <t>Sales_Level</t>
  </si>
  <si>
    <t>Example</t>
  </si>
  <si>
    <t>Result</t>
  </si>
  <si>
    <t>Product Name</t>
  </si>
  <si>
    <t>South Region Sales</t>
  </si>
  <si>
    <t>South + Electronics Sales</t>
  </si>
  <si>
    <t>Electronics Orders</t>
  </si>
  <si>
    <t>South Electronics Orders</t>
  </si>
  <si>
    <t>LEFT</t>
  </si>
  <si>
    <t>RIGHT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</si>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</sst>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1" applyAlignment="1">
      <alignment horizontal="center"/>
    </xf>
    <xf numFmtId="0" fontId="0" fillId="4" borderId="0" xfId="0" applyFill="1"/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F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5.36328125" customWidth="1"/>
    <col min="2" max="2" width="18.36328125" customWidth="1"/>
    <col min="3" max="3" width="16.7265625" customWidth="1"/>
    <col min="4" max="4" width="16.08984375" customWidth="1"/>
    <col min="5" max="5" width="16.1796875" customWidth="1"/>
    <col min="6" max="6" width="15.453125" customWidth="1"/>
    <col min="7" max="7" width="17.26953125" customWidth="1"/>
    <col min="8" max="8" width="21.08984375" customWidth="1"/>
    <col min="9" max="9" width="16" customWidth="1"/>
    <col min="10" max="10" width="19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</v>
      </c>
      <c r="I1" s="1" t="s">
        <v>112</v>
      </c>
      <c r="J1" s="4" t="s">
        <v>174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45000</v>
      </c>
      <c r="H2" t="str">
        <f>VLOOKUP(C2,Product_Master!A:D,2,FALSE)</f>
        <v>Laptop</v>
      </c>
      <c r="I2" t="str">
        <f>VLOOKUP(C2,Product_Master!A:D,3,FALSE)</f>
        <v>Electronics</v>
      </c>
      <c r="J2" t="str">
        <f>IF(G2&gt;=10000,"High","Low")</f>
        <v>High</v>
      </c>
    </row>
    <row r="3" spans="1:10" x14ac:dyDescent="0.35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2</v>
      </c>
      <c r="G3">
        <v>17000</v>
      </c>
      <c r="H3" t="str">
        <f>VLOOKUP(C3,Product_Master!A:D,2,FALSE)</f>
        <v>Office Chair</v>
      </c>
      <c r="I3" t="str">
        <f>VLOOKUP(C3,Product_Master!A:D,3,FALSE)</f>
        <v>Furniture</v>
      </c>
      <c r="J3" t="str">
        <f t="shared" ref="J3:J31" si="0">IF(G3&gt;=10000,"High","Low")</f>
        <v>High</v>
      </c>
    </row>
    <row r="4" spans="1:10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</v>
      </c>
      <c r="G4">
        <v>3600</v>
      </c>
      <c r="H4" t="str">
        <f>VLOOKUP(C4,Product_Master!A:D,2,FALSE)</f>
        <v>T-Shirt</v>
      </c>
      <c r="I4" t="str">
        <f>VLOOKUP(C4,Product_Master!A:D,3,FALSE)</f>
        <v>Clothing</v>
      </c>
      <c r="J4" t="str">
        <f t="shared" si="0"/>
        <v>Low</v>
      </c>
    </row>
    <row r="5" spans="1:10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>
        <v>22000</v>
      </c>
      <c r="H5" t="str">
        <f>VLOOKUP(C5,Product_Master!A:D,2,FALSE)</f>
        <v>Smartphone</v>
      </c>
      <c r="I5" t="str">
        <f>VLOOKUP(C5,Product_Master!A:D,3,FALSE)</f>
        <v>Electronics</v>
      </c>
      <c r="J5" t="str">
        <f t="shared" si="0"/>
        <v>High</v>
      </c>
    </row>
    <row r="6" spans="1:10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4</v>
      </c>
      <c r="G6">
        <v>3600</v>
      </c>
      <c r="H6" t="str">
        <f>VLOOKUP(C6,Product_Master!A:D,2,FALSE)</f>
        <v>Grocery Pack</v>
      </c>
      <c r="I6" t="str">
        <f>VLOOKUP(C6,Product_Master!A:D,3,FALSE)</f>
        <v>Grocery</v>
      </c>
      <c r="J6" t="str">
        <f t="shared" si="0"/>
        <v>Low</v>
      </c>
    </row>
    <row r="7" spans="1:10" x14ac:dyDescent="0.35">
      <c r="A7" t="s">
        <v>31</v>
      </c>
      <c r="B7" t="s">
        <v>32</v>
      </c>
      <c r="C7" t="s">
        <v>33</v>
      </c>
      <c r="D7" t="s">
        <v>34</v>
      </c>
      <c r="E7" t="s">
        <v>11</v>
      </c>
      <c r="F7">
        <v>2</v>
      </c>
      <c r="G7">
        <v>5000</v>
      </c>
      <c r="H7" t="str">
        <f>VLOOKUP(C7,Product_Master!A:D,2,FALSE)</f>
        <v>Headphones</v>
      </c>
      <c r="I7" t="str">
        <f>VLOOKUP(C7,Product_Master!A:D,3,FALSE)</f>
        <v>Electronics</v>
      </c>
      <c r="J7" t="str">
        <f t="shared" si="0"/>
        <v>Low</v>
      </c>
    </row>
    <row r="8" spans="1:10" x14ac:dyDescent="0.35">
      <c r="A8" t="s">
        <v>35</v>
      </c>
      <c r="B8" t="s">
        <v>36</v>
      </c>
      <c r="C8" t="s">
        <v>37</v>
      </c>
      <c r="D8" t="s">
        <v>38</v>
      </c>
      <c r="E8" t="s">
        <v>20</v>
      </c>
      <c r="F8">
        <v>1</v>
      </c>
      <c r="G8">
        <v>12000</v>
      </c>
      <c r="H8" t="str">
        <f>VLOOKUP(C8,Product_Master!A:D,2,FALSE)</f>
        <v>Desk</v>
      </c>
      <c r="I8" t="str">
        <f>VLOOKUP(C8,Product_Master!A:D,3,FALSE)</f>
        <v>Furniture</v>
      </c>
      <c r="J8" t="str">
        <f t="shared" si="0"/>
        <v>High</v>
      </c>
    </row>
    <row r="9" spans="1:10" x14ac:dyDescent="0.35">
      <c r="A9" t="s">
        <v>39</v>
      </c>
      <c r="B9" t="s">
        <v>40</v>
      </c>
      <c r="C9" t="s">
        <v>41</v>
      </c>
      <c r="D9" t="s">
        <v>42</v>
      </c>
      <c r="E9" t="s">
        <v>25</v>
      </c>
      <c r="F9">
        <v>2</v>
      </c>
      <c r="G9">
        <v>4400</v>
      </c>
      <c r="H9" t="str">
        <f>VLOOKUP(C9,Product_Master!A:D,2,FALSE)</f>
        <v>Jeans</v>
      </c>
      <c r="I9" t="str">
        <f>VLOOKUP(C9,Product_Master!A:D,3,FALSE)</f>
        <v>Clothing</v>
      </c>
      <c r="J9" t="str">
        <f t="shared" si="0"/>
        <v>Low</v>
      </c>
    </row>
    <row r="10" spans="1:10" x14ac:dyDescent="0.35">
      <c r="A10" t="s">
        <v>43</v>
      </c>
      <c r="B10" t="s">
        <v>44</v>
      </c>
      <c r="C10" t="s">
        <v>45</v>
      </c>
      <c r="D10" t="s">
        <v>46</v>
      </c>
      <c r="E10" t="s">
        <v>30</v>
      </c>
      <c r="F10">
        <v>1</v>
      </c>
      <c r="G10">
        <v>3200</v>
      </c>
      <c r="H10" t="str">
        <f>VLOOKUP(C10,Product_Master!A:D,2,FALSE)</f>
        <v>Shoes</v>
      </c>
      <c r="I10" t="str">
        <f>VLOOKUP(C10,Product_Master!A:D,3,FALSE)</f>
        <v>Clothing</v>
      </c>
      <c r="J10" t="str">
        <f t="shared" si="0"/>
        <v>Low</v>
      </c>
    </row>
    <row r="11" spans="1:10" x14ac:dyDescent="0.35">
      <c r="A11" t="s">
        <v>47</v>
      </c>
      <c r="B11" t="s">
        <v>48</v>
      </c>
      <c r="C11" t="s">
        <v>49</v>
      </c>
      <c r="D11" t="s">
        <v>50</v>
      </c>
      <c r="E11" t="s">
        <v>11</v>
      </c>
      <c r="F11">
        <v>2</v>
      </c>
      <c r="G11">
        <v>11000</v>
      </c>
      <c r="H11" t="str">
        <f>VLOOKUP(C11,Product_Master!A:D,2,FALSE)</f>
        <v>Coffee Maker</v>
      </c>
      <c r="I11" t="str">
        <f>VLOOKUP(C11,Product_Master!A:D,3,FALSE)</f>
        <v>Home Appliances</v>
      </c>
      <c r="J11" t="str">
        <f t="shared" si="0"/>
        <v>High</v>
      </c>
    </row>
    <row r="12" spans="1:10" x14ac:dyDescent="0.35">
      <c r="A12" t="s">
        <v>51</v>
      </c>
      <c r="B12" t="s">
        <v>52</v>
      </c>
      <c r="C12" t="s">
        <v>9</v>
      </c>
      <c r="D12" t="s">
        <v>53</v>
      </c>
      <c r="E12" t="s">
        <v>20</v>
      </c>
      <c r="F12">
        <v>1</v>
      </c>
      <c r="G12">
        <v>45000</v>
      </c>
      <c r="H12" t="str">
        <f>VLOOKUP(C12,Product_Master!A:D,2,FALSE)</f>
        <v>Laptop</v>
      </c>
      <c r="I12" t="str">
        <f>VLOOKUP(C12,Product_Master!A:D,3,FALSE)</f>
        <v>Electronics</v>
      </c>
      <c r="J12" t="str">
        <f t="shared" si="0"/>
        <v>High</v>
      </c>
    </row>
    <row r="13" spans="1:10" x14ac:dyDescent="0.35">
      <c r="A13" t="s">
        <v>54</v>
      </c>
      <c r="B13" t="s">
        <v>55</v>
      </c>
      <c r="C13" t="s">
        <v>23</v>
      </c>
      <c r="D13" t="s">
        <v>56</v>
      </c>
      <c r="E13" t="s">
        <v>25</v>
      </c>
      <c r="F13">
        <v>2</v>
      </c>
      <c r="G13">
        <v>44000</v>
      </c>
      <c r="H13" t="str">
        <f>VLOOKUP(C13,Product_Master!A:D,2,FALSE)</f>
        <v>Smartphone</v>
      </c>
      <c r="I13" t="str">
        <f>VLOOKUP(C13,Product_Master!A:D,3,FALSE)</f>
        <v>Electronics</v>
      </c>
      <c r="J13" t="str">
        <f t="shared" si="0"/>
        <v>High</v>
      </c>
    </row>
    <row r="14" spans="1:10" x14ac:dyDescent="0.35">
      <c r="A14" t="s">
        <v>57</v>
      </c>
      <c r="B14" t="s">
        <v>58</v>
      </c>
      <c r="C14" t="s">
        <v>18</v>
      </c>
      <c r="D14" t="s">
        <v>59</v>
      </c>
      <c r="E14" t="s">
        <v>30</v>
      </c>
      <c r="F14">
        <v>5</v>
      </c>
      <c r="G14">
        <v>6000</v>
      </c>
      <c r="H14" t="str">
        <f>VLOOKUP(C14,Product_Master!A:D,2,FALSE)</f>
        <v>T-Shirt</v>
      </c>
      <c r="I14" t="str">
        <f>VLOOKUP(C14,Product_Master!A:D,3,FALSE)</f>
        <v>Clothing</v>
      </c>
      <c r="J14" t="str">
        <f t="shared" si="0"/>
        <v>Low</v>
      </c>
    </row>
    <row r="15" spans="1:10" x14ac:dyDescent="0.35">
      <c r="A15" t="s">
        <v>60</v>
      </c>
      <c r="B15" t="s">
        <v>61</v>
      </c>
      <c r="C15" t="s">
        <v>14</v>
      </c>
      <c r="D15" t="s">
        <v>62</v>
      </c>
      <c r="E15" t="s">
        <v>11</v>
      </c>
      <c r="F15">
        <v>1</v>
      </c>
      <c r="G15">
        <v>8500</v>
      </c>
      <c r="H15" t="str">
        <f>VLOOKUP(C15,Product_Master!A:D,2,FALSE)</f>
        <v>Office Chair</v>
      </c>
      <c r="I15" t="str">
        <f>VLOOKUP(C15,Product_Master!A:D,3,FALSE)</f>
        <v>Furniture</v>
      </c>
      <c r="J15" t="str">
        <f t="shared" si="0"/>
        <v>Low</v>
      </c>
    </row>
    <row r="16" spans="1:10" x14ac:dyDescent="0.35">
      <c r="A16" t="s">
        <v>63</v>
      </c>
      <c r="B16" t="s">
        <v>64</v>
      </c>
      <c r="C16" t="s">
        <v>28</v>
      </c>
      <c r="D16" t="s">
        <v>65</v>
      </c>
      <c r="E16" t="s">
        <v>20</v>
      </c>
      <c r="F16">
        <v>3</v>
      </c>
      <c r="G16">
        <v>2700</v>
      </c>
      <c r="H16" t="str">
        <f>VLOOKUP(C16,Product_Master!A:D,2,FALSE)</f>
        <v>Grocery Pack</v>
      </c>
      <c r="I16" t="str">
        <f>VLOOKUP(C16,Product_Master!A:D,3,FALSE)</f>
        <v>Grocery</v>
      </c>
      <c r="J16" t="str">
        <f t="shared" si="0"/>
        <v>Low</v>
      </c>
    </row>
    <row r="17" spans="1:10" x14ac:dyDescent="0.35">
      <c r="A17" t="s">
        <v>66</v>
      </c>
      <c r="B17" t="s">
        <v>67</v>
      </c>
      <c r="C17" t="s">
        <v>33</v>
      </c>
      <c r="D17" t="s">
        <v>68</v>
      </c>
      <c r="E17" t="s">
        <v>25</v>
      </c>
      <c r="F17">
        <v>4</v>
      </c>
      <c r="G17">
        <v>10000</v>
      </c>
      <c r="H17" t="str">
        <f>VLOOKUP(C17,Product_Master!A:D,2,FALSE)</f>
        <v>Headphones</v>
      </c>
      <c r="I17" t="str">
        <f>VLOOKUP(C17,Product_Master!A:D,3,FALSE)</f>
        <v>Electronics</v>
      </c>
      <c r="J17" t="str">
        <f t="shared" si="0"/>
        <v>High</v>
      </c>
    </row>
    <row r="18" spans="1:10" x14ac:dyDescent="0.35">
      <c r="A18" t="s">
        <v>69</v>
      </c>
      <c r="B18" t="s">
        <v>70</v>
      </c>
      <c r="C18" t="s">
        <v>37</v>
      </c>
      <c r="D18" t="s">
        <v>71</v>
      </c>
      <c r="E18" t="s">
        <v>30</v>
      </c>
      <c r="F18">
        <v>2</v>
      </c>
      <c r="G18">
        <v>24000</v>
      </c>
      <c r="H18" t="str">
        <f>VLOOKUP(C18,Product_Master!A:D,2,FALSE)</f>
        <v>Desk</v>
      </c>
      <c r="I18" t="str">
        <f>VLOOKUP(C18,Product_Master!A:D,3,FALSE)</f>
        <v>Furniture</v>
      </c>
      <c r="J18" t="str">
        <f t="shared" si="0"/>
        <v>High</v>
      </c>
    </row>
    <row r="19" spans="1:10" x14ac:dyDescent="0.35">
      <c r="A19" t="s">
        <v>72</v>
      </c>
      <c r="B19" t="s">
        <v>73</v>
      </c>
      <c r="C19" t="s">
        <v>41</v>
      </c>
      <c r="D19" t="s">
        <v>74</v>
      </c>
      <c r="E19" t="s">
        <v>11</v>
      </c>
      <c r="F19">
        <v>1</v>
      </c>
      <c r="G19">
        <v>2200</v>
      </c>
      <c r="H19" t="str">
        <f>VLOOKUP(C19,Product_Master!A:D,2,FALSE)</f>
        <v>Jeans</v>
      </c>
      <c r="I19" t="str">
        <f>VLOOKUP(C19,Product_Master!A:D,3,FALSE)</f>
        <v>Clothing</v>
      </c>
      <c r="J19" t="str">
        <f t="shared" si="0"/>
        <v>Low</v>
      </c>
    </row>
    <row r="20" spans="1:10" x14ac:dyDescent="0.35">
      <c r="A20" t="s">
        <v>75</v>
      </c>
      <c r="B20" t="s">
        <v>76</v>
      </c>
      <c r="C20" t="s">
        <v>45</v>
      </c>
      <c r="D20" t="s">
        <v>77</v>
      </c>
      <c r="E20" t="s">
        <v>20</v>
      </c>
      <c r="F20">
        <v>2</v>
      </c>
      <c r="G20">
        <v>6400</v>
      </c>
      <c r="H20" t="str">
        <f>VLOOKUP(C20,Product_Master!A:D,2,FALSE)</f>
        <v>Shoes</v>
      </c>
      <c r="I20" t="str">
        <f>VLOOKUP(C20,Product_Master!A:D,3,FALSE)</f>
        <v>Clothing</v>
      </c>
      <c r="J20" t="str">
        <f t="shared" si="0"/>
        <v>Low</v>
      </c>
    </row>
    <row r="21" spans="1:10" x14ac:dyDescent="0.35">
      <c r="A21" t="s">
        <v>78</v>
      </c>
      <c r="B21" t="s">
        <v>79</v>
      </c>
      <c r="C21" t="s">
        <v>49</v>
      </c>
      <c r="D21" t="s">
        <v>80</v>
      </c>
      <c r="E21" t="s">
        <v>25</v>
      </c>
      <c r="F21">
        <v>1</v>
      </c>
      <c r="G21">
        <v>5500</v>
      </c>
      <c r="H21" t="str">
        <f>VLOOKUP(C21,Product_Master!A:D,2,FALSE)</f>
        <v>Coffee Maker</v>
      </c>
      <c r="I21" t="str">
        <f>VLOOKUP(C21,Product_Master!A:D,3,FALSE)</f>
        <v>Home Appliances</v>
      </c>
      <c r="J21" t="str">
        <f t="shared" si="0"/>
        <v>Low</v>
      </c>
    </row>
    <row r="22" spans="1:10" x14ac:dyDescent="0.35">
      <c r="A22" t="s">
        <v>81</v>
      </c>
      <c r="B22" t="s">
        <v>82</v>
      </c>
      <c r="C22" t="s">
        <v>9</v>
      </c>
      <c r="D22" t="s">
        <v>83</v>
      </c>
      <c r="E22" t="s">
        <v>30</v>
      </c>
      <c r="F22">
        <v>2</v>
      </c>
      <c r="G22">
        <v>90000</v>
      </c>
      <c r="H22" t="str">
        <f>VLOOKUP(C22,Product_Master!A:D,2,FALSE)</f>
        <v>Laptop</v>
      </c>
      <c r="I22" t="str">
        <f>VLOOKUP(C22,Product_Master!A:D,3,FALSE)</f>
        <v>Electronics</v>
      </c>
      <c r="J22" t="str">
        <f t="shared" si="0"/>
        <v>High</v>
      </c>
    </row>
    <row r="23" spans="1:10" x14ac:dyDescent="0.35">
      <c r="A23" t="s">
        <v>84</v>
      </c>
      <c r="B23" t="s">
        <v>85</v>
      </c>
      <c r="C23" t="s">
        <v>23</v>
      </c>
      <c r="D23" t="s">
        <v>86</v>
      </c>
      <c r="E23" t="s">
        <v>11</v>
      </c>
      <c r="F23">
        <v>1</v>
      </c>
      <c r="G23">
        <v>22000</v>
      </c>
      <c r="H23" t="str">
        <f>VLOOKUP(C23,Product_Master!A:D,2,FALSE)</f>
        <v>Smartphone</v>
      </c>
      <c r="I23" t="str">
        <f>VLOOKUP(C23,Product_Master!A:D,3,FALSE)</f>
        <v>Electronics</v>
      </c>
      <c r="J23" t="str">
        <f t="shared" si="0"/>
        <v>High</v>
      </c>
    </row>
    <row r="24" spans="1:10" x14ac:dyDescent="0.35">
      <c r="A24" t="s">
        <v>87</v>
      </c>
      <c r="B24" t="s">
        <v>88</v>
      </c>
      <c r="C24" t="s">
        <v>14</v>
      </c>
      <c r="D24" t="s">
        <v>89</v>
      </c>
      <c r="E24" t="s">
        <v>20</v>
      </c>
      <c r="F24">
        <v>3</v>
      </c>
      <c r="G24">
        <v>25500</v>
      </c>
      <c r="H24" t="str">
        <f>VLOOKUP(C24,Product_Master!A:D,2,FALSE)</f>
        <v>Office Chair</v>
      </c>
      <c r="I24" t="str">
        <f>VLOOKUP(C24,Product_Master!A:D,3,FALSE)</f>
        <v>Furniture</v>
      </c>
      <c r="J24" t="str">
        <f t="shared" si="0"/>
        <v>High</v>
      </c>
    </row>
    <row r="25" spans="1:10" x14ac:dyDescent="0.35">
      <c r="A25" t="s">
        <v>90</v>
      </c>
      <c r="B25" t="s">
        <v>91</v>
      </c>
      <c r="C25" t="s">
        <v>18</v>
      </c>
      <c r="D25" t="s">
        <v>92</v>
      </c>
      <c r="E25" t="s">
        <v>25</v>
      </c>
      <c r="F25">
        <v>2</v>
      </c>
      <c r="G25">
        <v>2400</v>
      </c>
      <c r="H25" t="str">
        <f>VLOOKUP(C25,Product_Master!A:D,2,FALSE)</f>
        <v>T-Shirt</v>
      </c>
      <c r="I25" t="str">
        <f>VLOOKUP(C25,Product_Master!A:D,3,FALSE)</f>
        <v>Clothing</v>
      </c>
      <c r="J25" t="str">
        <f t="shared" si="0"/>
        <v>Low</v>
      </c>
    </row>
    <row r="26" spans="1:10" x14ac:dyDescent="0.35">
      <c r="A26" t="s">
        <v>93</v>
      </c>
      <c r="B26" t="s">
        <v>94</v>
      </c>
      <c r="C26" t="s">
        <v>28</v>
      </c>
      <c r="D26" t="s">
        <v>95</v>
      </c>
      <c r="E26" t="s">
        <v>30</v>
      </c>
      <c r="F26">
        <v>6</v>
      </c>
      <c r="G26">
        <v>5400</v>
      </c>
      <c r="H26" t="str">
        <f>VLOOKUP(C26,Product_Master!A:D,2,FALSE)</f>
        <v>Grocery Pack</v>
      </c>
      <c r="I26" t="str">
        <f>VLOOKUP(C26,Product_Master!A:D,3,FALSE)</f>
        <v>Grocery</v>
      </c>
      <c r="J26" t="str">
        <f t="shared" si="0"/>
        <v>Low</v>
      </c>
    </row>
    <row r="27" spans="1:10" x14ac:dyDescent="0.35">
      <c r="A27" t="s">
        <v>96</v>
      </c>
      <c r="B27" t="s">
        <v>97</v>
      </c>
      <c r="C27" t="s">
        <v>33</v>
      </c>
      <c r="D27" t="s">
        <v>98</v>
      </c>
      <c r="E27" t="s">
        <v>11</v>
      </c>
      <c r="F27">
        <v>1</v>
      </c>
      <c r="G27">
        <v>2500</v>
      </c>
      <c r="H27" t="str">
        <f>VLOOKUP(C27,Product_Master!A:D,2,FALSE)</f>
        <v>Headphones</v>
      </c>
      <c r="I27" t="str">
        <f>VLOOKUP(C27,Product_Master!A:D,3,FALSE)</f>
        <v>Electronics</v>
      </c>
      <c r="J27" t="str">
        <f t="shared" si="0"/>
        <v>Low</v>
      </c>
    </row>
    <row r="28" spans="1:10" x14ac:dyDescent="0.35">
      <c r="A28" t="s">
        <v>99</v>
      </c>
      <c r="B28" t="s">
        <v>100</v>
      </c>
      <c r="C28" t="s">
        <v>37</v>
      </c>
      <c r="D28" t="s">
        <v>101</v>
      </c>
      <c r="E28" t="s">
        <v>20</v>
      </c>
      <c r="F28">
        <v>1</v>
      </c>
      <c r="G28">
        <v>12000</v>
      </c>
      <c r="H28" t="str">
        <f>VLOOKUP(C28,Product_Master!A:D,2,FALSE)</f>
        <v>Desk</v>
      </c>
      <c r="I28" t="str">
        <f>VLOOKUP(C28,Product_Master!A:D,3,FALSE)</f>
        <v>Furniture</v>
      </c>
      <c r="J28" t="str">
        <f t="shared" si="0"/>
        <v>High</v>
      </c>
    </row>
    <row r="29" spans="1:10" x14ac:dyDescent="0.35">
      <c r="A29" t="s">
        <v>102</v>
      </c>
      <c r="B29" t="s">
        <v>103</v>
      </c>
      <c r="C29" t="s">
        <v>41</v>
      </c>
      <c r="D29" t="s">
        <v>104</v>
      </c>
      <c r="E29" t="s">
        <v>25</v>
      </c>
      <c r="F29">
        <v>3</v>
      </c>
      <c r="G29">
        <v>6600</v>
      </c>
      <c r="H29" t="str">
        <f>VLOOKUP(C29,Product_Master!A:D,2,FALSE)</f>
        <v>Jeans</v>
      </c>
      <c r="I29" t="str">
        <f>VLOOKUP(C29,Product_Master!A:D,3,FALSE)</f>
        <v>Clothing</v>
      </c>
      <c r="J29" t="str">
        <f t="shared" si="0"/>
        <v>Low</v>
      </c>
    </row>
    <row r="30" spans="1:10" x14ac:dyDescent="0.35">
      <c r="A30" t="s">
        <v>105</v>
      </c>
      <c r="B30" t="s">
        <v>106</v>
      </c>
      <c r="C30" t="s">
        <v>45</v>
      </c>
      <c r="D30" t="s">
        <v>107</v>
      </c>
      <c r="E30" t="s">
        <v>30</v>
      </c>
      <c r="F30">
        <v>2</v>
      </c>
      <c r="G30">
        <v>6400</v>
      </c>
      <c r="H30" t="str">
        <f>VLOOKUP(C30,Product_Master!A:D,2,FALSE)</f>
        <v>Shoes</v>
      </c>
      <c r="I30" t="str">
        <f>VLOOKUP(C30,Product_Master!A:D,3,FALSE)</f>
        <v>Clothing</v>
      </c>
      <c r="J30" t="str">
        <f t="shared" si="0"/>
        <v>Low</v>
      </c>
    </row>
    <row r="31" spans="1:10" x14ac:dyDescent="0.35">
      <c r="A31" t="s">
        <v>108</v>
      </c>
      <c r="B31" t="s">
        <v>109</v>
      </c>
      <c r="C31" t="s">
        <v>49</v>
      </c>
      <c r="D31" t="s">
        <v>110</v>
      </c>
      <c r="E31" t="s">
        <v>11</v>
      </c>
      <c r="F31">
        <v>2</v>
      </c>
      <c r="G31">
        <v>11000</v>
      </c>
      <c r="H31" t="str">
        <f>VLOOKUP(C31,Product_Master!A:D,2,FALSE)</f>
        <v>Coffee Maker</v>
      </c>
      <c r="I31" t="str">
        <f>VLOOKUP(C31,Product_Master!A:D,3,FALSE)</f>
        <v>Home Appliances</v>
      </c>
      <c r="J31" t="str">
        <f t="shared" si="0"/>
        <v>High</v>
      </c>
    </row>
  </sheetData>
  <autoFilter ref="A1:G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.54296875" customWidth="1"/>
    <col min="2" max="2" width="21.08984375" customWidth="1"/>
    <col min="3" max="3" width="22.1796875" customWidth="1"/>
    <col min="4" max="4" width="17.36328125" customWidth="1"/>
  </cols>
  <sheetData>
    <row r="1" spans="1:4" x14ac:dyDescent="0.35">
      <c r="A1" s="1" t="s">
        <v>2</v>
      </c>
      <c r="B1" s="1" t="s">
        <v>111</v>
      </c>
      <c r="C1" s="1" t="s">
        <v>112</v>
      </c>
      <c r="D1" s="1" t="s">
        <v>113</v>
      </c>
    </row>
    <row r="2" spans="1:4" x14ac:dyDescent="0.35">
      <c r="A2" t="s">
        <v>9</v>
      </c>
      <c r="B2" t="s">
        <v>114</v>
      </c>
      <c r="C2" t="s">
        <v>115</v>
      </c>
      <c r="D2">
        <v>45000</v>
      </c>
    </row>
    <row r="3" spans="1:4" x14ac:dyDescent="0.35">
      <c r="A3" t="s">
        <v>23</v>
      </c>
      <c r="B3" t="s">
        <v>116</v>
      </c>
      <c r="C3" t="s">
        <v>115</v>
      </c>
      <c r="D3">
        <v>22000</v>
      </c>
    </row>
    <row r="4" spans="1:4" x14ac:dyDescent="0.35">
      <c r="A4" t="s">
        <v>33</v>
      </c>
      <c r="B4" t="s">
        <v>117</v>
      </c>
      <c r="C4" t="s">
        <v>115</v>
      </c>
      <c r="D4">
        <v>2500</v>
      </c>
    </row>
    <row r="5" spans="1:4" x14ac:dyDescent="0.35">
      <c r="A5" t="s">
        <v>14</v>
      </c>
      <c r="B5" t="s">
        <v>118</v>
      </c>
      <c r="C5" t="s">
        <v>119</v>
      </c>
      <c r="D5">
        <v>8500</v>
      </c>
    </row>
    <row r="6" spans="1:4" x14ac:dyDescent="0.35">
      <c r="A6" t="s">
        <v>37</v>
      </c>
      <c r="B6" t="s">
        <v>120</v>
      </c>
      <c r="C6" t="s">
        <v>119</v>
      </c>
      <c r="D6">
        <v>12000</v>
      </c>
    </row>
    <row r="7" spans="1:4" x14ac:dyDescent="0.35">
      <c r="A7" t="s">
        <v>18</v>
      </c>
      <c r="B7" t="s">
        <v>121</v>
      </c>
      <c r="C7" t="s">
        <v>122</v>
      </c>
      <c r="D7">
        <v>1200</v>
      </c>
    </row>
    <row r="8" spans="1:4" x14ac:dyDescent="0.35">
      <c r="A8" t="s">
        <v>41</v>
      </c>
      <c r="B8" t="s">
        <v>123</v>
      </c>
      <c r="C8" t="s">
        <v>122</v>
      </c>
      <c r="D8">
        <v>2200</v>
      </c>
    </row>
    <row r="9" spans="1:4" x14ac:dyDescent="0.35">
      <c r="A9" t="s">
        <v>45</v>
      </c>
      <c r="B9" t="s">
        <v>124</v>
      </c>
      <c r="C9" t="s">
        <v>122</v>
      </c>
      <c r="D9">
        <v>3200</v>
      </c>
    </row>
    <row r="10" spans="1:4" x14ac:dyDescent="0.35">
      <c r="A10" t="s">
        <v>28</v>
      </c>
      <c r="B10" t="s">
        <v>125</v>
      </c>
      <c r="C10" t="s">
        <v>126</v>
      </c>
      <c r="D10">
        <v>900</v>
      </c>
    </row>
    <row r="11" spans="1:4" x14ac:dyDescent="0.35">
      <c r="A11" t="s">
        <v>49</v>
      </c>
      <c r="B11" t="s">
        <v>127</v>
      </c>
      <c r="C11" t="s">
        <v>128</v>
      </c>
      <c r="D11">
        <v>5500</v>
      </c>
    </row>
  </sheetData>
  <autoFilter ref="A1:D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 activeCell="C18" sqref="C18"/>
    </sheetView>
  </sheetViews>
  <sheetFormatPr defaultRowHeight="14.5" x14ac:dyDescent="0.35"/>
  <cols>
    <col min="1" max="1" width="30.26953125" customWidth="1"/>
    <col min="2" max="2" width="39.81640625" customWidth="1"/>
    <col min="3" max="3" width="56.90625" customWidth="1"/>
  </cols>
  <sheetData>
    <row r="1" spans="1:3" x14ac:dyDescent="0.35">
      <c r="A1" s="1" t="s">
        <v>144</v>
      </c>
      <c r="B1" s="1" t="s">
        <v>145</v>
      </c>
      <c r="C1" s="1" t="s">
        <v>146</v>
      </c>
    </row>
    <row r="2" spans="1:3" x14ac:dyDescent="0.35">
      <c r="A2" t="s">
        <v>147</v>
      </c>
      <c r="B2" t="s">
        <v>148</v>
      </c>
      <c r="C2" t="s">
        <v>149</v>
      </c>
    </row>
    <row r="3" spans="1:3" x14ac:dyDescent="0.35">
      <c r="A3" t="s">
        <v>150</v>
      </c>
      <c r="B3" t="s">
        <v>148</v>
      </c>
      <c r="C3" t="s">
        <v>151</v>
      </c>
    </row>
    <row r="4" spans="1:3" x14ac:dyDescent="0.35">
      <c r="A4" t="s">
        <v>152</v>
      </c>
      <c r="B4" t="s">
        <v>153</v>
      </c>
      <c r="C4" t="s">
        <v>154</v>
      </c>
    </row>
    <row r="5" spans="1:3" x14ac:dyDescent="0.35">
      <c r="A5" t="s">
        <v>155</v>
      </c>
      <c r="B5" t="s">
        <v>156</v>
      </c>
      <c r="C5" t="s">
        <v>157</v>
      </c>
    </row>
    <row r="6" spans="1:3" x14ac:dyDescent="0.35">
      <c r="A6" t="s">
        <v>158</v>
      </c>
      <c r="B6" t="s">
        <v>159</v>
      </c>
      <c r="C6" t="s">
        <v>160</v>
      </c>
    </row>
    <row r="7" spans="1:3" x14ac:dyDescent="0.35">
      <c r="A7" t="s">
        <v>161</v>
      </c>
      <c r="B7" t="s">
        <v>162</v>
      </c>
      <c r="C7" t="s">
        <v>157</v>
      </c>
    </row>
    <row r="8" spans="1:3" x14ac:dyDescent="0.35">
      <c r="A8" t="s">
        <v>163</v>
      </c>
      <c r="B8" t="s">
        <v>164</v>
      </c>
      <c r="C8" t="s">
        <v>160</v>
      </c>
    </row>
    <row r="9" spans="1:3" x14ac:dyDescent="0.35">
      <c r="A9" t="s">
        <v>165</v>
      </c>
      <c r="B9" t="s">
        <v>166</v>
      </c>
      <c r="C9" t="s">
        <v>167</v>
      </c>
    </row>
    <row r="10" spans="1:3" x14ac:dyDescent="0.35">
      <c r="A10" t="s">
        <v>168</v>
      </c>
      <c r="B10" t="s">
        <v>169</v>
      </c>
      <c r="C10" t="s">
        <v>170</v>
      </c>
    </row>
    <row r="11" spans="1:3" x14ac:dyDescent="0.35">
      <c r="A11" t="s">
        <v>171</v>
      </c>
      <c r="B11" t="s">
        <v>172</v>
      </c>
      <c r="C11" t="s">
        <v>173</v>
      </c>
    </row>
  </sheetData>
  <autoFilter ref="A1:C1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6.453125" customWidth="1"/>
    <col min="2" max="2" width="17.7265625" customWidth="1"/>
    <col min="3" max="3" width="17.453125" customWidth="1"/>
    <col min="4" max="4" width="24.54296875" customWidth="1"/>
    <col min="5" max="5" width="14.6328125" customWidth="1"/>
    <col min="6" max="6" width="17.1796875" customWidth="1"/>
    <col min="7" max="7" width="14.1796875" customWidth="1"/>
    <col min="8" max="8" width="40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129</v>
      </c>
    </row>
    <row r="2" spans="1:8" x14ac:dyDescent="0.35">
      <c r="A2" t="s">
        <v>130</v>
      </c>
      <c r="B2" t="s">
        <v>131</v>
      </c>
      <c r="C2" t="s">
        <v>132</v>
      </c>
      <c r="D2" t="s">
        <v>133</v>
      </c>
      <c r="E2" t="s">
        <v>11</v>
      </c>
      <c r="F2">
        <v>1</v>
      </c>
      <c r="G2">
        <v>1000</v>
      </c>
      <c r="H2" t="s">
        <v>134</v>
      </c>
    </row>
    <row r="3" spans="1:8" x14ac:dyDescent="0.35">
      <c r="A3" t="s">
        <v>135</v>
      </c>
      <c r="B3" t="s">
        <v>136</v>
      </c>
      <c r="D3" t="s">
        <v>137</v>
      </c>
      <c r="E3" t="s">
        <v>25</v>
      </c>
      <c r="F3">
        <v>2</v>
      </c>
      <c r="G3">
        <v>2000</v>
      </c>
      <c r="H3" t="s">
        <v>138</v>
      </c>
    </row>
    <row r="4" spans="1:8" x14ac:dyDescent="0.35">
      <c r="A4" t="s">
        <v>139</v>
      </c>
      <c r="B4" t="s">
        <v>140</v>
      </c>
      <c r="C4" t="s">
        <v>9</v>
      </c>
      <c r="D4" t="s">
        <v>141</v>
      </c>
      <c r="E4" t="s">
        <v>20</v>
      </c>
      <c r="F4" t="s">
        <v>142</v>
      </c>
      <c r="G4">
        <v>90000</v>
      </c>
      <c r="H4" t="s">
        <v>143</v>
      </c>
    </row>
  </sheetData>
  <autoFilter ref="A1:H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3244-4653-461A-953B-17EB45AC5793}">
  <dimension ref="A1:C10"/>
  <sheetViews>
    <sheetView workbookViewId="0">
      <selection activeCell="B11" sqref="B11"/>
    </sheetView>
  </sheetViews>
  <sheetFormatPr defaultRowHeight="14.5" x14ac:dyDescent="0.35"/>
  <cols>
    <col min="1" max="1" width="21" customWidth="1"/>
    <col min="2" max="2" width="22.54296875" customWidth="1"/>
    <col min="3" max="3" width="19.54296875" style="2" customWidth="1"/>
  </cols>
  <sheetData>
    <row r="1" spans="1:3" x14ac:dyDescent="0.35">
      <c r="A1" s="3" t="s">
        <v>144</v>
      </c>
      <c r="B1" s="3" t="s">
        <v>175</v>
      </c>
      <c r="C1" s="3" t="s">
        <v>176</v>
      </c>
    </row>
    <row r="2" spans="1:3" x14ac:dyDescent="0.35">
      <c r="A2" t="s">
        <v>150</v>
      </c>
      <c r="B2" t="s">
        <v>177</v>
      </c>
      <c r="C2" s="2" t="str">
        <f>_xlfn.XLOOKUP(Transactions!C2,Product_Master!A:A,Product_Master!B:B,"Not Found")</f>
        <v>Laptop</v>
      </c>
    </row>
    <row r="3" spans="1:3" x14ac:dyDescent="0.35">
      <c r="A3" t="s">
        <v>155</v>
      </c>
      <c r="B3" t="s">
        <v>178</v>
      </c>
      <c r="C3" s="2">
        <f>SUMIF(Transactions!E:E,"South",Transactions!G:G)</f>
        <v>124200</v>
      </c>
    </row>
    <row r="4" spans="1:3" x14ac:dyDescent="0.35">
      <c r="A4" t="s">
        <v>158</v>
      </c>
      <c r="B4" t="s">
        <v>179</v>
      </c>
      <c r="C4" s="2">
        <f>SUMIFS(Transactions!G:G,Transactions!E:E,"South",Transactions!I:I,"Electronics")</f>
        <v>74500</v>
      </c>
    </row>
    <row r="5" spans="1:3" x14ac:dyDescent="0.35">
      <c r="A5" t="s">
        <v>161</v>
      </c>
      <c r="B5" t="s">
        <v>180</v>
      </c>
      <c r="C5" s="2">
        <f>COUNTIF(Transactions!I:I,"Electronics")</f>
        <v>9</v>
      </c>
    </row>
    <row r="6" spans="1:3" x14ac:dyDescent="0.35">
      <c r="A6" t="s">
        <v>163</v>
      </c>
      <c r="B6" t="s">
        <v>181</v>
      </c>
      <c r="C6" s="2">
        <f>COUNTIFS(Transactions!E:E,"South",Transactions!I:I,"Electronics")</f>
        <v>4</v>
      </c>
    </row>
    <row r="7" spans="1:3" x14ac:dyDescent="0.35">
      <c r="A7" t="s">
        <v>182</v>
      </c>
      <c r="C7" s="2" t="str">
        <f>LEFT(Transactions!A2,3)</f>
        <v>ORD</v>
      </c>
    </row>
    <row r="8" spans="1:3" x14ac:dyDescent="0.35">
      <c r="A8" t="s">
        <v>183</v>
      </c>
      <c r="C8" s="2" t="str">
        <f>RIGHT(Transactions!A2,3)</f>
        <v>001</v>
      </c>
    </row>
    <row r="9" spans="1:3" x14ac:dyDescent="0.35">
      <c r="A9" t="s">
        <v>184</v>
      </c>
      <c r="C9" s="2" t="str">
        <f>_xlfn.CONCAT(Transactions!A2,"-",Transactions!C2)</f>
        <v>ORD001-P101</v>
      </c>
    </row>
    <row r="10" spans="1:3" x14ac:dyDescent="0.35">
      <c r="A10" t="s">
        <v>171</v>
      </c>
      <c r="C10" s="2" t="str">
        <f>INDEX(Product_Master!B:B,MATCH(Transactions!C2,Product_Master!A:A,0))</f>
        <v>Laptop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Product_Master</vt:lpstr>
      <vt:lpstr>Notes</vt:lpstr>
      <vt:lpstr>Edge_Cases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sree</cp:lastModifiedBy>
  <dcterms:created xsi:type="dcterms:W3CDTF">2026-10-06T08:31:01Z</dcterms:created>
  <dcterms:modified xsi:type="dcterms:W3CDTF">2026-10-06T14:40:55Z</dcterms:modified>
</cp:coreProperties>
</file>